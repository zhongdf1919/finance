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hong\Documents\"/>
    </mc:Choice>
  </mc:AlternateContent>
  <xr:revisionPtr revIDLastSave="0" documentId="13_ncr:1_{3AFB1BE9-8AF2-42E4-9077-182A99971CEE}" xr6:coauthVersionLast="47" xr6:coauthVersionMax="47" xr10:uidLastSave="{00000000-0000-0000-0000-000000000000}"/>
  <bookViews>
    <workbookView xWindow="-98" yWindow="-98" windowWidth="23236" windowHeight="13875" xr2:uid="{45248FB6-06F7-44D5-9BC4-2B3640FB96D6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" l="1"/>
  <c r="C18" i="3" s="1"/>
  <c r="B18" i="3" s="1" a="1"/>
  <c r="B1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<sst xmlns="http://schemas.openxmlformats.org/spreadsheetml/2006/main" count="14" uniqueCount="14">
  <si>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spot</t>
    <phoneticPr fontId="1" type="noConversion"/>
  </si>
  <si>
    <t>1M</t>
    <phoneticPr fontId="1" type="noConversion"/>
  </si>
  <si>
    <t>2M</t>
    <phoneticPr fontId="1" type="noConversion"/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</si>
  <si>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</si>
  <si>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</si>
  <si>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</si>
  <si>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</si>
  <si>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</si>
  <si>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</si>
  <si>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</si>
  <si>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</si>
  <si>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</si>
  <si>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  <phoneticPr fontId="1" type="noConversion"/>
  </si>
  <si>
    <t>expiry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</si>
</sst>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DB58-8C11-45F0-9E23-1F6BA3E5966E}">
  <sheetPr codeName="Sheet1"/>
  <dimension ref="A3:D18"/>
  <sheetViews>
    <sheetView tabSelected="1" workbookViewId="0">
      <selection activeCell="A17" sqref="A17"/>
    </sheetView>
  </sheetViews>
  <sheetFormatPr defaultRowHeight="13.9" x14ac:dyDescent="0.4"/>
  <cols>
    <col min="3" max="3" width="9.53125" bestFit="1" customWidth="1"/>
  </cols>
  <sheetData>
    <row r="3" spans="1:4" x14ac:dyDescent="0.4">
      <c r="A3" t="s">
        <v>0</v>
      </c>
      <c r="B3">
        <v>7.21</v>
      </c>
    </row>
    <row r="4" spans="1:4" x14ac:dyDescent="0.4">
      <c r="A4" t="s">
        <v>1</v>
      </c>
      <c r="B4">
        <v>113.13020716495095</v>
      </c>
    </row>
    <row r="5" spans="1:4" x14ac:dyDescent="0.4">
      <c r="A5" t="s">
        <v>2</v>
      </c>
      <c r="B5">
        <v>126.64566699061336</v>
      </c>
    </row>
    <row r="6" spans="1:4" x14ac:dyDescent="0.4">
      <c r="A6" t="s">
        <v>3</v>
      </c>
      <c r="B6">
        <v>147.32996939633927</v>
      </c>
    </row>
    <row r="7" spans="1:4" x14ac:dyDescent="0.4">
      <c r="A7" t="s">
        <v>4</v>
      </c>
      <c r="B7">
        <v>233.18271413458928</v>
      </c>
    </row>
    <row r="8" spans="1:4" x14ac:dyDescent="0.4">
      <c r="A8" t="s">
        <v>5</v>
      </c>
      <c r="B8">
        <v>277.66375240604089</v>
      </c>
    </row>
    <row r="9" spans="1:4" x14ac:dyDescent="0.4">
      <c r="A9" t="s">
        <v>6</v>
      </c>
      <c r="B9">
        <v>309.97255850929344</v>
      </c>
    </row>
    <row r="10" spans="1:4" x14ac:dyDescent="0.4">
      <c r="A10" t="s">
        <v>7</v>
      </c>
      <c r="B10">
        <v>367.54093094667064</v>
      </c>
    </row>
    <row r="11" spans="1:4" x14ac:dyDescent="0.4">
      <c r="A11" t="s">
        <v>8</v>
      </c>
      <c r="B11">
        <v>377.42929069019419</v>
      </c>
    </row>
    <row r="12" spans="1:4" x14ac:dyDescent="0.4">
      <c r="A12" t="s">
        <v>9</v>
      </c>
      <c r="B12">
        <v>381.93806046698114</v>
      </c>
    </row>
    <row r="13" spans="1:4" x14ac:dyDescent="0.4">
      <c r="A13" t="s">
        <v>10</v>
      </c>
      <c r="B13">
        <v>456.9229310537342</v>
      </c>
    </row>
    <row r="14" spans="1:4" x14ac:dyDescent="0.4">
      <c r="A14" t="s">
        <v>11</v>
      </c>
      <c r="B14">
        <v>471.65341366000087</v>
      </c>
    </row>
    <row r="15" spans="1:4" x14ac:dyDescent="0.4">
      <c r="A15" t="s">
        <v>12</v>
      </c>
      <c r="B15">
        <v>472.50320120309908</v>
      </c>
    </row>
    <row r="16" spans="1:4" x14ac:dyDescent="0.4">
      <c r="A16" t="s">
        <v>13</v>
      </c>
      <c r="C16" s="1">
        <v>45601</v>
      </c>
      <c r="D16" s="1"/>
    </row>
    <row r="17" spans="2:3" x14ac:dyDescent="0.4">
      <c r="C17" s="1">
        <f ca="1">TODAY()</f>
        <v>45507</v>
      </c>
    </row>
    <row r="18" spans="2:3" x14ac:dyDescent="0.4">
      <c r="B18" cm="1">
        <f t="array" aca="1" ref="B18" ca="1">INDEX(B3:B15, MATCH(C18, {0,30,60,90,120,150,180,210,240,270,300,330,360}, 1)) + (C18 - INDEX({0,30,60,90,120,150,180,210,240,270,300,330,360}, MATCH(C18, {0,30,60,90,120,150,180,210,240,270,300,330,360}, 1))) / (INDEX({0,30,60,90,120,150,180,210,240,270,300,330,360}, MATCH(C18, {0,30,60,90,120,150,180,210,240,270,300,330,360}, 1)+1) - INDEX({0,30,60,90,120,150,180,210,240,270,300,330,360}, MATCH(C18, {0,30,60,90,120,150,180,210,240,270,300,330,360}, 1))) * (INDEX(B3:B15, MATCH(C18, {0,30,60,90,120,150,180,210,240,270,300,330,360}, 1)+1) - INDEX(B3:B15, MATCH(C18, {0,30,60,90,120,150,180,210,240,270,300,330,360}, 1)))</f>
        <v>158.77700202810593</v>
      </c>
      <c r="C18">
        <f ca="1">C16 - C17</f>
        <v>94</v>
      </c>
    </row>
  </sheetData>
  <phoneticPr fontId="1" type="noConversion"/>
  <dataValidations count="2">
    <dataValidation type="date" allowBlank="1" showInputMessage="1" showErrorMessage="1" sqref="C16" xr:uid="{EC16F4B8-0F84-4C02-A7E6-8ED338DD6AA0}">
      <formula1>TODAY()+1</formula1>
      <formula2>TODAY()+365</formula2>
    </dataValidation>
    <dataValidation type="time" imeMode="on" allowBlank="1" showInputMessage="1" showErrorMessage="1" sqref="D16" xr:uid="{6E91C86F-CEA3-457B-A869-93115D4748CE}">
      <formula1>TODAY()+1</formula1>
      <formula2>TODAY()+365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迪飞</dc:creator>
  <cp:lastModifiedBy>迪飞</cp:lastModifiedBy>
  <dcterms:created xsi:type="dcterms:W3CDTF">2024-08-03T06:32:35Z</dcterms:created>
  <dcterms:modified xsi:type="dcterms:W3CDTF">2024-08-03T07:21:58Z</dcterms:modified>
</cp:coreProperties>
</file>